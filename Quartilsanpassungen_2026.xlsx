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<sst xmlns="http://schemas.openxmlformats.org/spreadsheetml/2006/main" count="19" uniqueCount="19">
  <si>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monatl.</t>
  </si>
  <si>
    <t>jährl</t>
  </si>
  <si>
    <t xml:space="preserve">Mindestsicherung pro Person ab 2 Beziehern im Haushalt</t>
  </si>
  <si>
    <t xml:space="preserve">Mindestsicherung eine Person</t>
  </si>
  <si>
    <t>Familiensozialleistungen</t>
  </si>
  <si>
    <t>Kinderbeihilfe</t>
  </si>
  <si>
    <t>Kinderabsetzbetrag</t>
  </si>
  <si>
    <t>Familienbonus+</t>
  </si>
  <si>
    <t>Schulstartgeld</t>
  </si>
  <si>
    <t xml:space="preserve">Summe Familiensozialleistungen</t>
  </si>
  <si>
    <t xml:space="preserve">Mindestsicherung von 2 personenhaushalt *1,5</t>
  </si>
  <si>
    <t xml:space="preserve">Quartilsgrenzen Statistik Austria 2024</t>
  </si>
  <si>
    <t xml:space="preserve">Anpassung PSG - Familiensozialleistungen, ohne 13. 14.</t>
  </si>
  <si>
    <t xml:space="preserve">d1 Näherung von 2 * Mindestsicherung</t>
  </si>
  <si>
    <t>d1</t>
  </si>
  <si>
    <t xml:space="preserve">Fehler Näherung</t>
  </si>
  <si>
    <t>q1-q2</t>
  </si>
  <si>
    <t>q2-q3</t>
  </si>
  <si>
    <t>q3-q4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</si>
</sst>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&quot; &quot;_€_-;&quot;-&quot;* #,##0&quot; &quot;_€_-;_-* &quot;-&quot;??&quot; &quot;_€_-;_-@_-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  <b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0" fillId="2" borderId="0" numFmtId="43" applyNumberFormat="1" applyFont="0" applyFill="0" applyBorder="0"/>
  </cellStyleXfs>
  <cellXfs count="16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164" xfId="2" applyNumberFormat="1"/>
    <xf fontId="0" fillId="0" borderId="0" numFmtId="0" xfId="0"/>
    <xf fontId="0" fillId="0" borderId="0" numFmtId="0" xfId="0">
      <protection hidden="0" locked="1"/>
    </xf>
    <xf fontId="0" fillId="0" borderId="0" numFmtId="0" xfId="0"/>
    <xf fontId="1" fillId="0" borderId="0" numFmtId="0" xfId="0" applyFont="1"/>
    <xf fontId="1" fillId="0" borderId="0" numFmtId="0" xfId="0" applyFont="1">
      <protection hidden="0" locked="1"/>
    </xf>
    <xf fontId="0" fillId="0" borderId="0" numFmtId="164" xfId="2" applyNumberFormat="1"/>
    <xf fontId="0" fillId="3" borderId="0" numFmtId="0" xfId="0" applyFill="1"/>
    <xf fontId="0" fillId="3" borderId="0" numFmtId="165" xfId="2" applyNumberFormat="1" applyFill="1"/>
    <xf fontId="0" fillId="3" borderId="0" numFmtId="164" xfId="2" applyNumberFormat="1" applyFill="1"/>
    <xf fontId="0" fillId="0" borderId="0" numFmtId="165" xfId="2" applyNumberFormat="1">
      <protection hidden="0" locked="1"/>
    </xf>
    <xf fontId="0" fillId="0" borderId="0" numFmtId="165" xfId="2" applyNumberFormat="1"/>
    <xf fontId="0" fillId="0" borderId="0" numFmtId="10" xfId="1" applyNumberFormat="1"/>
  </cellXfs>
  <cellStyles count="3">
    <cellStyle name="Normal" xfId="0" builtinId="0"/>
    <cellStyle name="Percent" xfId="1" builtinId="5"/>
    <cellStyle name="Comm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customWidth="1" min="1" max="1" width="56.421875"/>
    <col customWidth="1" min="2" max="2" width="35.57421875"/>
    <col customWidth="1" min="3" max="3" width="19.57421875"/>
    <col bestFit="1" customWidth="1" min="11" max="11" width="11.32421875"/>
  </cols>
  <sheetData>
    <row r="1" ht="14.25">
      <c r="B1" t="s">
        <v>0</v>
      </c>
      <c r="C1" t="s">
        <v>1</v>
      </c>
    </row>
    <row r="2" ht="14.25">
      <c r="A2" s="1" t="s">
        <v>2</v>
      </c>
      <c r="B2" s="2">
        <v>922</v>
      </c>
      <c r="C2" s="3">
        <f>B2*12</f>
        <v>11064</v>
      </c>
    </row>
    <row r="3" ht="14.25">
      <c r="A3" s="1" t="s">
        <v>3</v>
      </c>
      <c r="B3" s="2">
        <v>1229.8900000000001</v>
      </c>
      <c r="C3" s="3">
        <f>B3*12</f>
        <v>14758.68</v>
      </c>
    </row>
    <row r="4" ht="14.25">
      <c r="A4" s="4"/>
      <c r="B4" s="5"/>
      <c r="C4" s="3"/>
      <c r="G4" s="6"/>
      <c r="J4" s="6"/>
    </row>
    <row r="5" ht="14.25">
      <c r="A5" s="4" t="s">
        <v>4</v>
      </c>
      <c r="B5" s="5"/>
      <c r="C5" s="3"/>
      <c r="G5" s="6"/>
      <c r="J5" s="6"/>
    </row>
    <row r="6" ht="14.25">
      <c r="A6" s="4" t="s">
        <v>5</v>
      </c>
      <c r="B6" s="5">
        <v>1660.8</v>
      </c>
      <c r="C6" s="3"/>
      <c r="G6" s="6"/>
      <c r="J6" s="6"/>
    </row>
    <row r="7" ht="14.25">
      <c r="A7" s="4" t="s">
        <v>6</v>
      </c>
      <c r="B7" s="5">
        <v>850.79999999999995</v>
      </c>
      <c r="C7" s="3"/>
      <c r="G7" s="6"/>
      <c r="J7" s="6"/>
    </row>
    <row r="8" ht="14.25">
      <c r="A8" s="4" t="s">
        <v>7</v>
      </c>
      <c r="B8" s="5">
        <v>2000</v>
      </c>
      <c r="C8" s="3"/>
      <c r="G8" s="6"/>
      <c r="J8" s="6"/>
    </row>
    <row r="9" ht="14.25">
      <c r="A9" s="4" t="s">
        <v>8</v>
      </c>
      <c r="B9" s="5">
        <v>121.40000000000001</v>
      </c>
      <c r="C9" s="3"/>
      <c r="G9" s="6"/>
      <c r="J9" s="6"/>
    </row>
    <row r="10" ht="14.25">
      <c r="A10" s="7" t="s">
        <v>9</v>
      </c>
      <c r="B10" s="8">
        <f>SUM(B6:B9)</f>
        <v>4633</v>
      </c>
      <c r="C10" s="3"/>
      <c r="G10" s="6"/>
      <c r="J10" s="6"/>
    </row>
    <row r="11" ht="14.25">
      <c r="C11" s="3"/>
    </row>
    <row r="12" ht="14.25">
      <c r="A12" t="s">
        <v>10</v>
      </c>
      <c r="B12" t="s">
        <v>11</v>
      </c>
      <c r="C12" s="9" t="s">
        <v>12</v>
      </c>
    </row>
    <row r="13" ht="14.25">
      <c r="A13" s="10" t="s">
        <v>13</v>
      </c>
      <c r="B13" s="11">
        <f>C2*2*1.5</f>
        <v>33192</v>
      </c>
      <c r="C13" s="12">
        <f>(B13-$B$10*1.5)/14*12</f>
        <v>22493.571428571428</v>
      </c>
    </row>
    <row r="14" ht="14.25">
      <c r="A14" t="s">
        <v>14</v>
      </c>
      <c r="B14" s="13">
        <v>33324</v>
      </c>
      <c r="C14" s="3">
        <f>(B14-4300*1.5)/14*12</f>
        <v>23034.857142857145</v>
      </c>
      <c r="D14">
        <f>C14-C13</f>
        <v>541.2857142857174</v>
      </c>
      <c r="E14" t="s">
        <v>15</v>
      </c>
    </row>
    <row r="15" ht="14.25">
      <c r="A15" t="s">
        <v>16</v>
      </c>
      <c r="B15" s="14">
        <v>54647</v>
      </c>
      <c r="C15" s="3">
        <f>(B15-4300*1.5)/14*12</f>
        <v>41311.71428571429</v>
      </c>
      <c r="D15" s="15">
        <f>D14/C14</f>
        <v>2.3498548783210671e-002</v>
      </c>
    </row>
    <row r="16" ht="14.25">
      <c r="A16" s="10" t="s">
        <v>17</v>
      </c>
      <c r="B16" s="11">
        <v>70884</v>
      </c>
      <c r="C16" s="12">
        <f>(B16-4300*1.5)/14*12</f>
        <v>55229.142857142855</v>
      </c>
    </row>
    <row r="17" ht="14.25">
      <c r="A17" s="10" t="s">
        <v>18</v>
      </c>
      <c r="B17" s="11">
        <v>92907</v>
      </c>
      <c r="C17" s="12">
        <f>(B17-4300*1.5)/14*12</f>
        <v>74106</v>
      </c>
    </row>
    <row r="18" ht="14.25">
      <c r="B18"/>
      <c r="D18"/>
    </row>
    <row r="19" ht="14.25">
      <c r="O19" s="15">
        <f>D14/C14</f>
        <v>2.3498548783210671e-002</v>
      </c>
    </row>
    <row r="20" ht="14.25">
      <c r="E20" s="1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2026-04-23T16:50:43Z</dcterms:modified>
</cp:coreProperties>
</file>